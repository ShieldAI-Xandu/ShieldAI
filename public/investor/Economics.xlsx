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nit Economics" sheetId="2" state="visible" r:id="rId4"/>
    <sheet name="Price Finder" sheetId="3" state="visible" r:id="rId5"/>
    <sheet name="3-Year Mod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<sst xmlns="http://schemas.openxmlformats.org/spreadsheetml/2006/main" count="161" uniqueCount="143">
  <si>
    <t xml:space="preserve">ShieldAI — Unit Economics &amp; Pricing Model</t>
  </si>
  <si>
    <t xml:space="preserve">Every blue cell is an input you can change. Black cells are formulas. Yellow = the assumptions that most affect the answer.</t>
  </si>
  <si>
    <t xml:space="preserve">Sources: cost inputs derived from the ShieldAI codebase (generators.js, mastermindRoutes.js); market inputs from the 2026 Business Plan and cited competitor research.</t>
  </si>
  <si>
    <t xml:space="preserve">PRICING TIERS</t>
  </si>
  <si>
    <t xml:space="preserve">Tier</t>
  </si>
  <si>
    <t xml:space="preserve">Price/mo ($)</t>
  </si>
  <si>
    <t xml:space="preserve">Engineer hrs/mo</t>
  </si>
  <si>
    <t xml:space="preserve">AI cost/mo ($)</t>
  </si>
  <si>
    <t xml:space="preserve">Support hrs/mo</t>
  </si>
  <si>
    <t xml:space="preserve">Notes</t>
  </si>
  <si>
    <t xml:space="preserve">Free</t>
  </si>
  <si>
    <t xml:space="preserve">Assessment + score only. Acquisition, not revenue.</t>
  </si>
  <si>
    <t xml:space="preserve">Starter</t>
  </si>
  <si>
    <t xml:space="preserve">Full program, policies, 4 control-mapped frameworks. No human time.</t>
  </si>
  <si>
    <t xml:space="preserve">Growth</t>
  </si>
  <si>
    <t xml:space="preserve">Starter + monitoring agent, CVE/breach intel, quarterly review.</t>
  </si>
  <si>
    <t xml:space="preserve">Guided</t>
  </si>
  <si>
    <t xml:space="preserve">Growth + engineer review, compliance tracking, monthly check-in.</t>
  </si>
  <si>
    <t xml:space="preserve">Managed</t>
  </si>
  <si>
    <t xml:space="preserve">Engineer runs the program end-to-end. Qualified Individual for FTC.</t>
  </si>
  <si>
    <t xml:space="preserve">COST INPUTS</t>
  </si>
  <si>
    <t xml:space="preserve">Fully loaded engineer cost</t>
  </si>
  <si>
    <t xml:space="preserve">Per year, incl. benefits/overhead. Business Plan §5.3.</t>
  </si>
  <si>
    <t xml:space="preserve">Engineer productive hrs/yr</t>
  </si>
  <si>
    <t xml:space="preserve">2,080 gross less PTO, admin, training, ramp.</t>
  </si>
  <si>
    <t xml:space="preserve">Engineer cost / hour</t>
  </si>
  <si>
    <t xml:space="preserve">Computed: cost / productive hours</t>
  </si>
  <si>
    <t xml:space="preserve">Support cost / hour</t>
  </si>
  <si>
    <t xml:space="preserve">Blended CS/onboarding rate.</t>
  </si>
  <si>
    <t xml:space="preserve">Infrastructure / client / mo</t>
  </si>
  <si>
    <t xml:space="preserve">Railway, storage, bandwidth at scale.</t>
  </si>
  <si>
    <t xml:space="preserve">Payment processing</t>
  </si>
  <si>
    <t xml:space="preserve">Stripe 2.9% + $0.30; the fixed fee matters at low ARPU.</t>
  </si>
  <si>
    <t xml:space="preserve">Payment fixed fee</t>
  </si>
  <si>
    <t xml:space="preserve">Per transaction.</t>
  </si>
  <si>
    <t xml:space="preserve">ACQUISITION &amp; RETENTION</t>
  </si>
  <si>
    <t xml:space="preserve">THE PLAN HAS NO CAC. These are the levers that decide whether $159 works — they need real data, not estimates.</t>
  </si>
  <si>
    <t xml:space="preserve">Blended CAC — self-serve</t>
  </si>
  <si>
    <t xml:space="preserve">Paid + content + tooling per paying Starter/Growth client. UNVALIDATED.</t>
  </si>
  <si>
    <t xml:space="preserve">Blended CAC — assisted</t>
  </si>
  <si>
    <t xml:space="preserve">Guided/Managed: includes sales time. UNVALIDATED.</t>
  </si>
  <si>
    <t xml:space="preserve">Free → paid conversion</t>
  </si>
  <si>
    <t xml:space="preserve">Of free assessments that become paying. UNVALIDATED.</t>
  </si>
  <si>
    <t xml:space="preserve">Monthly churn — self-serve</t>
  </si>
  <si>
    <t xml:space="preserve">4.5%/mo ≈ 42%/yr. SMB self-serve churns hard.</t>
  </si>
  <si>
    <t xml:space="preserve">Monthly churn — assisted</t>
  </si>
  <si>
    <t xml:space="preserve">1.5%/mo ≈ 17%/yr. Human relationship retains.</t>
  </si>
  <si>
    <t xml:space="preserve">Gross margin target</t>
  </si>
  <si>
    <t xml:space="preserve">Business Plan claims ~75% at Managed.</t>
  </si>
  <si>
    <t xml:space="preserve">Max acceptable CAC payback</t>
  </si>
  <si>
    <t xml:space="preserve">Months. Above ~18 the model needs a lot of capital.</t>
  </si>
  <si>
    <t xml:space="preserve">AI COST BUILD-UP  (from the actual codebase, not a guess)</t>
  </si>
  <si>
    <t xml:space="preserve">Program sections generated</t>
  </si>
  <si>
    <t xml:space="preserve">generators.js: riskOverview…execReport.</t>
  </si>
  <si>
    <t xml:space="preserve">Avg tokens per section (in+out)</t>
  </si>
  <si>
    <t xml:space="preserve">~2k prompt + ~4k completion.</t>
  </si>
  <si>
    <t xml:space="preserve">Policies generated per client</t>
  </si>
  <si>
    <t xml:space="preserve">Of 40 in policyCatalog.js; most clients use a subset.</t>
  </si>
  <si>
    <t xml:space="preserve">Avg tokens per policy</t>
  </si>
  <si>
    <t xml:space="preserve">Long-form structured output.</t>
  </si>
  <si>
    <t xml:space="preserve">Mastermind msgs / client / mo</t>
  </si>
  <si>
    <t xml:space="preserve">mastermindRoutes.js: 1.2k–2k max_tokens per call.</t>
  </si>
  <si>
    <t xml:space="preserve">Avg tokens per Mastermind msg</t>
  </si>
  <si>
    <t xml:space="preserve">Incl. conversation history resent each turn.</t>
  </si>
  <si>
    <t xml:space="preserve">Blended $ per 1M tokens</t>
  </si>
  <si>
    <t xml:space="preserve">Mixed input/output across the provider fallback chain.</t>
  </si>
  <si>
    <t xml:space="preserve">Program regenerations / yr</t>
  </si>
  <si>
    <t xml:space="preserve">Reassessment cadence.</t>
  </si>
  <si>
    <t xml:space="preserve">Onboarding AI cost (one-time)</t>
  </si>
  <si>
    <t xml:space="preserve">Full program + policies at signup.</t>
  </si>
  <si>
    <t xml:space="preserve">Ongoing AI cost / client / mo</t>
  </si>
  <si>
    <t xml:space="preserve">Mastermind + amortised regeneration. Compare to the plan's $15 assumption.</t>
  </si>
  <si>
    <t xml:space="preserve">Unit Economics by Tier</t>
  </si>
  <si>
    <t xml:space="preserve">Per-client, per-month. LTV uses gross margin (not revenue) — an LTV built on revenue flatters every SaaS model.</t>
  </si>
  <si>
    <t xml:space="preserve">Metric</t>
  </si>
  <si>
    <t xml:space="preserve">Price / month</t>
  </si>
  <si>
    <t xml:space="preserve">Engineer cost</t>
  </si>
  <si>
    <t xml:space="preserve">Support cost</t>
  </si>
  <si>
    <t xml:space="preserve">AI cost</t>
  </si>
  <si>
    <t xml:space="preserve">Infrastructure</t>
  </si>
  <si>
    <t xml:space="preserve">Total COGS</t>
  </si>
  <si>
    <t xml:space="preserve">Gross profit / mo</t>
  </si>
  <si>
    <t xml:space="preserve">Gross margin %</t>
  </si>
  <si>
    <t xml:space="preserve">CAC</t>
  </si>
  <si>
    <t xml:space="preserve">Monthly churn</t>
  </si>
  <si>
    <t xml:space="preserve">Avg lifetime (months)</t>
  </si>
  <si>
    <t xml:space="preserve">LTV (gross-margin based)</t>
  </si>
  <si>
    <t xml:space="preserve">LTV : CAC</t>
  </si>
  <si>
    <t xml:space="preserve">CAC payback (months)</t>
  </si>
  <si>
    <t xml:space="preserve">VERDICT</t>
  </si>
  <si>
    <t xml:space="preserve">Benchmarks: LTV:CAC ≥ 3.0x is the standard bar. CAC payback ≤ 12 months keeps the business fundable without heavy capital.</t>
  </si>
  <si>
    <t xml:space="preserve">Note: 'Free' shows Acquisition — its cost is real and is carried by the conversion rate on the Assumptions tab.</t>
  </si>
  <si>
    <t xml:space="preserve">What price does the model actually support?</t>
  </si>
  <si>
    <t xml:space="preserve">Solves the question the plan doesn't: at a given CAC and churn, what is the MINIMUM price for a healthy business?</t>
  </si>
  <si>
    <t xml:space="preserve">Inputs</t>
  </si>
  <si>
    <t xml:space="preserve">Self-serve blended.</t>
  </si>
  <si>
    <t xml:space="preserve">Self-serve.</t>
  </si>
  <si>
    <t xml:space="preserve">Target LTV:CAC</t>
  </si>
  <si>
    <t xml:space="preserve">The standard bar.</t>
  </si>
  <si>
    <t xml:space="preserve">Target payback (months)</t>
  </si>
  <si>
    <t xml:space="preserve">Non-price COGS / mo</t>
  </si>
  <si>
    <t xml:space="preserve">AI + infra + support at Starter.</t>
  </si>
  <si>
    <t xml:space="preserve">Required outcomes</t>
  </si>
  <si>
    <t xml:space="preserve">Lifetime (months)</t>
  </si>
  <si>
    <t xml:space="preserve">Gross profit needed (LTV:CAC)</t>
  </si>
  <si>
    <t xml:space="preserve">Gross profit needed (payback)</t>
  </si>
  <si>
    <t xml:space="preserve">Binding constraint</t>
  </si>
  <si>
    <t xml:space="preserve">Gross profit needed / mo</t>
  </si>
  <si>
    <t xml:space="preserve">MINIMUM VIABLE PRICE</t>
  </si>
  <si>
    <t xml:space="preserve">Your proposed Starter price</t>
  </si>
  <si>
    <t xml:space="preserve">Headroom vs. minimum</t>
  </si>
  <si>
    <t xml:space="preserve">Verdict</t>
  </si>
  <si>
    <t xml:space="preserve">LTV:CAC — Starter price (rows) vs. CAC (columns)</t>
  </si>
  <si>
    <t xml:space="preserve">Price \ CAC</t>
  </si>
  <si>
    <t xml:space="preserve">Green ≥3.0x healthy · Amber 1.5–3.0x marginal · Red &lt;1.5x unviable. Read down your CAC column to find the price that clears 3.0x.</t>
  </si>
  <si>
    <t xml:space="preserve">Three-Year Projection</t>
  </si>
  <si>
    <t xml:space="preserve">Client counts are inputs (blue). Everything else computes. Compare the Net Margin row against the Business Plan's ~75% gross-margin claim.</t>
  </si>
  <si>
    <t xml:space="preserve">Year 1</t>
  </si>
  <si>
    <t xml:space="preserve">Year 2</t>
  </si>
  <si>
    <t xml:space="preserve">Year 3</t>
  </si>
  <si>
    <t xml:space="preserve">CLIENTS (end of year)</t>
  </si>
  <si>
    <t xml:space="preserve">Total paying clients</t>
  </si>
  <si>
    <t xml:space="preserve">REVENUE</t>
  </si>
  <si>
    <t xml:space="preserve">Starter ARR</t>
  </si>
  <si>
    <t xml:space="preserve">Growth ARR</t>
  </si>
  <si>
    <t xml:space="preserve">Guided ARR</t>
  </si>
  <si>
    <t xml:space="preserve">Managed ARR</t>
  </si>
  <si>
    <t xml:space="preserve">Total ARR</t>
  </si>
  <si>
    <t xml:space="preserve">COGS</t>
  </si>
  <si>
    <t xml:space="preserve">Engineer hours needed / yr</t>
  </si>
  <si>
    <t xml:space="preserve">Engineers required</t>
  </si>
  <si>
    <t xml:space="preserve">AI + infrastructure</t>
  </si>
  <si>
    <t xml:space="preserve">Support</t>
  </si>
  <si>
    <t xml:space="preserve">Gross profit</t>
  </si>
  <si>
    <t xml:space="preserve">ACQUISITION COST (below the gross-margin line)</t>
  </si>
  <si>
    <t xml:space="preserve">New clients added</t>
  </si>
  <si>
    <t xml:space="preserve">Sales &amp; marketing (CAC)</t>
  </si>
  <si>
    <t xml:space="preserve">Contribution after CAC</t>
  </si>
  <si>
    <t xml:space="preserve">Net margin after CAC %</t>
  </si>
  <si>
    <t xml:space="preserve">Blended ARPU / month</t>
  </si>
  <si>
    <t xml:space="preserve">ARR per engineer</t>
  </si>
  <si>
    <t xml:space="preserve">Gross margin % is BEFORE customer acquisition. Net margin after CAC is the number that determines whether the business funds itself.</t>
  </si>
  <si>
    <t xml:space="preserve">The Business Plan's ~75% figure is a gross margin at the Managed tier only — not a company-wide net margin. Both are shown here so the difference is visible.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</si>
</sst>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0"/>
    <numFmt numFmtId="167" formatCode="#,##0"/>
    <numFmt numFmtId="168" formatCode="\$#,##0.00;&quot;($&quot;#,##0.00\);\-"/>
    <numFmt numFmtId="169" formatCode="0.0%"/>
    <numFmt numFmtId="170" formatCode="#,##0.0"/>
    <numFmt numFmtId="171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2545"/>
        <bgColor rgb="FF003300"/>
      </patternFill>
    </fill>
    <fill>
      <patternFill patternType="solid">
        <fgColor rgb="FFD9E2EC"/>
        <bgColor rgb="FFD4EDDA"/>
      </patternFill>
    </fill>
    <fill>
      <patternFill patternType="solid">
        <fgColor rgb="FFFFFF00"/>
        <bgColor rgb="FFFFFF00"/>
      </patternFill>
    </fill>
    <fill>
      <patternFill patternType="solid">
        <fgColor rgb="FFFFF3CD"/>
        <bgColor rgb="FFFFFFFF"/>
      </patternFill>
    </fill>
    <fill>
      <patternFill patternType="solid">
        <fgColor rgb="FFD4EDDA"/>
        <bgColor rgb="FFD9E2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5" min="4" style="1" width="15"/>
    <col collapsed="false" customWidth="true" hidden="false" outlineLevel="0" max="6" min="6" style="1" width="58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customFormat="false" ht="15" hidden="false" customHeight="false" outlineLevel="0" collapsed="false">
      <c r="A7" s="7" t="s">
        <v>10</v>
      </c>
      <c r="B7" s="8" t="n">
        <v>0</v>
      </c>
      <c r="C7" s="9" t="n">
        <v>0</v>
      </c>
      <c r="D7" s="10" t="n">
        <v>2</v>
      </c>
      <c r="E7" s="9" t="n">
        <v>0.1</v>
      </c>
      <c r="F7" s="11" t="s">
        <v>11</v>
      </c>
    </row>
    <row r="8" customFormat="false" ht="15" hidden="false" customHeight="false" outlineLevel="0" collapsed="false">
      <c r="A8" s="7" t="s">
        <v>12</v>
      </c>
      <c r="B8" s="8" t="n">
        <v>159</v>
      </c>
      <c r="C8" s="9" t="n">
        <v>0</v>
      </c>
      <c r="D8" s="10" t="n">
        <v>6</v>
      </c>
      <c r="E8" s="9" t="n">
        <v>0.25</v>
      </c>
      <c r="F8" s="11" t="s">
        <v>13</v>
      </c>
    </row>
    <row r="9" customFormat="false" ht="15" hidden="false" customHeight="false" outlineLevel="0" collapsed="false">
      <c r="A9" s="7" t="s">
        <v>14</v>
      </c>
      <c r="B9" s="8" t="n">
        <v>349</v>
      </c>
      <c r="C9" s="9" t="n">
        <v>0.5</v>
      </c>
      <c r="D9" s="10" t="n">
        <v>9</v>
      </c>
      <c r="E9" s="9" t="n">
        <v>0.5</v>
      </c>
      <c r="F9" s="11" t="s">
        <v>15</v>
      </c>
    </row>
    <row r="10" customFormat="false" ht="15" hidden="false" customHeight="false" outlineLevel="0" collapsed="false">
      <c r="A10" s="7" t="s">
        <v>16</v>
      </c>
      <c r="B10" s="8" t="n">
        <v>699</v>
      </c>
      <c r="C10" s="9" t="n">
        <v>2</v>
      </c>
      <c r="D10" s="10" t="n">
        <v>12</v>
      </c>
      <c r="E10" s="9" t="n">
        <v>1</v>
      </c>
      <c r="F10" s="11" t="s">
        <v>17</v>
      </c>
    </row>
    <row r="11" customFormat="false" ht="15" hidden="false" customHeight="false" outlineLevel="0" collapsed="false">
      <c r="A11" s="7" t="s">
        <v>18</v>
      </c>
      <c r="B11" s="8" t="n">
        <v>1950</v>
      </c>
      <c r="C11" s="9" t="n">
        <v>8</v>
      </c>
      <c r="D11" s="10" t="n">
        <v>18</v>
      </c>
      <c r="E11" s="9" t="n">
        <v>2</v>
      </c>
      <c r="F11" s="11" t="s">
        <v>19</v>
      </c>
    </row>
    <row r="13" customFormat="false" ht="15" hidden="false" customHeight="false" outlineLevel="0" collapsed="false">
      <c r="A13" s="4" t="s">
        <v>20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7" t="s">
        <v>21</v>
      </c>
      <c r="B14" s="8" t="n">
        <v>140000</v>
      </c>
      <c r="C14" s="11" t="s">
        <v>22</v>
      </c>
    </row>
    <row r="15" customFormat="false" ht="15" hidden="false" customHeight="false" outlineLevel="0" collapsed="false">
      <c r="A15" s="7" t="s">
        <v>23</v>
      </c>
      <c r="B15" s="12" t="n">
        <v>1600</v>
      </c>
      <c r="C15" s="11" t="s">
        <v>24</v>
      </c>
    </row>
    <row r="16" customFormat="false" ht="15" hidden="false" customHeight="false" outlineLevel="0" collapsed="false">
      <c r="A16" s="7" t="s">
        <v>25</v>
      </c>
      <c r="B16" s="13" t="n">
        <f aca="false">B14/B15</f>
        <v>87.5</v>
      </c>
      <c r="C16" s="11" t="s">
        <v>26</v>
      </c>
    </row>
    <row r="17" customFormat="false" ht="15" hidden="false" customHeight="false" outlineLevel="0" collapsed="false">
      <c r="A17" s="7" t="s">
        <v>27</v>
      </c>
      <c r="B17" s="14" t="n">
        <v>35</v>
      </c>
      <c r="C17" s="11" t="s">
        <v>28</v>
      </c>
    </row>
    <row r="18" customFormat="false" ht="15" hidden="false" customHeight="false" outlineLevel="0" collapsed="false">
      <c r="A18" s="7" t="s">
        <v>29</v>
      </c>
      <c r="B18" s="14" t="n">
        <v>3</v>
      </c>
      <c r="C18" s="11" t="s">
        <v>30</v>
      </c>
    </row>
    <row r="19" customFormat="false" ht="15" hidden="false" customHeight="false" outlineLevel="0" collapsed="false">
      <c r="A19" s="7" t="s">
        <v>31</v>
      </c>
      <c r="B19" s="15" t="n">
        <v>0.029</v>
      </c>
      <c r="C19" s="11" t="s">
        <v>32</v>
      </c>
    </row>
    <row r="20" customFormat="false" ht="15" hidden="false" customHeight="false" outlineLevel="0" collapsed="false">
      <c r="A20" s="7" t="s">
        <v>33</v>
      </c>
      <c r="B20" s="14" t="n">
        <v>0.3</v>
      </c>
      <c r="C20" s="11" t="s">
        <v>34</v>
      </c>
    </row>
    <row r="22" customFormat="false" ht="15" hidden="false" customHeight="false" outlineLevel="0" collapsed="false">
      <c r="A22" s="4" t="s">
        <v>35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16" t="s">
        <v>36</v>
      </c>
    </row>
    <row r="24" customFormat="false" ht="15" hidden="false" customHeight="false" outlineLevel="0" collapsed="false">
      <c r="A24" s="7" t="s">
        <v>37</v>
      </c>
      <c r="B24" s="8" t="n">
        <v>400</v>
      </c>
      <c r="C24" s="11" t="s">
        <v>38</v>
      </c>
    </row>
    <row r="25" customFormat="false" ht="15" hidden="false" customHeight="false" outlineLevel="0" collapsed="false">
      <c r="A25" s="7" t="s">
        <v>39</v>
      </c>
      <c r="B25" s="8" t="n">
        <v>1800</v>
      </c>
      <c r="C25" s="11" t="s">
        <v>40</v>
      </c>
    </row>
    <row r="26" customFormat="false" ht="15" hidden="false" customHeight="false" outlineLevel="0" collapsed="false">
      <c r="A26" s="7" t="s">
        <v>41</v>
      </c>
      <c r="B26" s="17" t="n">
        <v>0.08</v>
      </c>
      <c r="C26" s="11" t="s">
        <v>42</v>
      </c>
    </row>
    <row r="27" customFormat="false" ht="15" hidden="false" customHeight="false" outlineLevel="0" collapsed="false">
      <c r="A27" s="7" t="s">
        <v>43</v>
      </c>
      <c r="B27" s="17" t="n">
        <v>0.045</v>
      </c>
      <c r="C27" s="11" t="s">
        <v>44</v>
      </c>
    </row>
    <row r="28" customFormat="false" ht="15" hidden="false" customHeight="false" outlineLevel="0" collapsed="false">
      <c r="A28" s="7" t="s">
        <v>45</v>
      </c>
      <c r="B28" s="17" t="n">
        <v>0.015</v>
      </c>
      <c r="C28" s="11" t="s">
        <v>46</v>
      </c>
    </row>
    <row r="29" customFormat="false" ht="15" hidden="false" customHeight="false" outlineLevel="0" collapsed="false">
      <c r="A29" s="7" t="s">
        <v>47</v>
      </c>
      <c r="B29" s="17" t="n">
        <v>0.75</v>
      </c>
      <c r="C29" s="11" t="s">
        <v>48</v>
      </c>
    </row>
    <row r="30" customFormat="false" ht="15" hidden="false" customHeight="false" outlineLevel="0" collapsed="false">
      <c r="A30" s="7" t="s">
        <v>49</v>
      </c>
      <c r="B30" s="12" t="n">
        <v>12</v>
      </c>
      <c r="C30" s="11" t="s">
        <v>50</v>
      </c>
    </row>
    <row r="32" customFormat="false" ht="15" hidden="false" customHeight="false" outlineLevel="0" collapsed="false">
      <c r="A32" s="4" t="s">
        <v>51</v>
      </c>
      <c r="B32" s="5"/>
      <c r="C32" s="5"/>
      <c r="D32" s="5"/>
      <c r="E32" s="5"/>
      <c r="F32" s="5"/>
    </row>
    <row r="33" customFormat="false" ht="15" hidden="false" customHeight="false" outlineLevel="0" collapsed="false">
      <c r="A33" s="7" t="s">
        <v>52</v>
      </c>
      <c r="B33" s="18" t="n">
        <v>10</v>
      </c>
      <c r="C33" s="11" t="s">
        <v>53</v>
      </c>
    </row>
    <row r="34" customFormat="false" ht="15" hidden="false" customHeight="false" outlineLevel="0" collapsed="false">
      <c r="A34" s="7" t="s">
        <v>54</v>
      </c>
      <c r="B34" s="18" t="n">
        <v>6000</v>
      </c>
      <c r="C34" s="11" t="s">
        <v>55</v>
      </c>
    </row>
    <row r="35" customFormat="false" ht="15" hidden="false" customHeight="false" outlineLevel="0" collapsed="false">
      <c r="A35" s="7" t="s">
        <v>56</v>
      </c>
      <c r="B35" s="18" t="n">
        <v>6</v>
      </c>
      <c r="C35" s="11" t="s">
        <v>57</v>
      </c>
    </row>
    <row r="36" customFormat="false" ht="15" hidden="false" customHeight="false" outlineLevel="0" collapsed="false">
      <c r="A36" s="7" t="s">
        <v>58</v>
      </c>
      <c r="B36" s="18" t="n">
        <v>5000</v>
      </c>
      <c r="C36" s="11" t="s">
        <v>59</v>
      </c>
    </row>
    <row r="37" customFormat="false" ht="15" hidden="false" customHeight="false" outlineLevel="0" collapsed="false">
      <c r="A37" s="7" t="s">
        <v>60</v>
      </c>
      <c r="B37" s="18" t="n">
        <v>8</v>
      </c>
      <c r="C37" s="11" t="s">
        <v>61</v>
      </c>
    </row>
    <row r="38" customFormat="false" ht="15" hidden="false" customHeight="false" outlineLevel="0" collapsed="false">
      <c r="A38" s="7" t="s">
        <v>62</v>
      </c>
      <c r="B38" s="18" t="n">
        <v>4000</v>
      </c>
      <c r="C38" s="11" t="s">
        <v>63</v>
      </c>
    </row>
    <row r="39" customFormat="false" ht="15" hidden="false" customHeight="false" outlineLevel="0" collapsed="false">
      <c r="A39" s="7" t="s">
        <v>64</v>
      </c>
      <c r="B39" s="14" t="n">
        <v>6</v>
      </c>
      <c r="C39" s="11" t="s">
        <v>65</v>
      </c>
    </row>
    <row r="40" customFormat="false" ht="15" hidden="false" customHeight="false" outlineLevel="0" collapsed="false">
      <c r="A40" s="7" t="s">
        <v>66</v>
      </c>
      <c r="B40" s="18" t="n">
        <v>2</v>
      </c>
      <c r="C40" s="11" t="s">
        <v>67</v>
      </c>
    </row>
    <row r="42" customFormat="false" ht="15" hidden="false" customHeight="false" outlineLevel="0" collapsed="false">
      <c r="A42" s="7" t="s">
        <v>68</v>
      </c>
      <c r="B42" s="13" t="n">
        <f aca="false">((B33*B34)+(B35*B36))/1000000*B39</f>
        <v>0.54</v>
      </c>
      <c r="C42" s="11" t="s">
        <v>69</v>
      </c>
    </row>
    <row r="43" customFormat="false" ht="15" hidden="false" customHeight="false" outlineLevel="0" collapsed="false">
      <c r="A43" s="7" t="s">
        <v>70</v>
      </c>
      <c r="B43" s="13" t="n">
        <f aca="false">(B37*B38)/1000000*B39+(B42*B40/12)</f>
        <v>0.282</v>
      </c>
      <c r="C43" s="11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2" style="1" width="14"/>
  </cols>
  <sheetData>
    <row r="1" customFormat="false" ht="17.35" hidden="false" customHeight="false" outlineLevel="0" collapsed="false">
      <c r="A1" s="2" t="s">
        <v>72</v>
      </c>
    </row>
    <row r="2" customFormat="false" ht="15" hidden="false" customHeight="false" outlineLevel="0" collapsed="false">
      <c r="A2" s="3" t="s">
        <v>73</v>
      </c>
    </row>
    <row r="4" customFormat="false" ht="15" hidden="false" customHeight="false" outlineLevel="0" collapsed="false">
      <c r="A4" s="4" t="s">
        <v>74</v>
      </c>
      <c r="B4" s="19" t="s">
        <v>10</v>
      </c>
      <c r="C4" s="19" t="s">
        <v>12</v>
      </c>
      <c r="D4" s="19" t="s">
        <v>14</v>
      </c>
      <c r="E4" s="19" t="s">
        <v>16</v>
      </c>
      <c r="F4" s="19" t="s">
        <v>18</v>
      </c>
    </row>
    <row r="5" customFormat="false" ht="15" hidden="false" customHeight="false" outlineLevel="0" collapsed="false">
      <c r="A5" s="7" t="s">
        <v>75</v>
      </c>
      <c r="B5" s="20" t="n">
        <f aca="false">Assumptions!B7</f>
        <v>0</v>
      </c>
      <c r="C5" s="20" t="n">
        <f aca="false">Assumptions!B8</f>
        <v>159</v>
      </c>
      <c r="D5" s="20" t="n">
        <f aca="false">Assumptions!B9</f>
        <v>349</v>
      </c>
      <c r="E5" s="20" t="n">
        <f aca="false">Assumptions!B10</f>
        <v>699</v>
      </c>
      <c r="F5" s="20" t="n">
        <f aca="false">Assumptions!B11</f>
        <v>1950</v>
      </c>
    </row>
    <row r="7" customFormat="false" ht="15" hidden="false" customHeight="false" outlineLevel="0" collapsed="false">
      <c r="A7" s="7" t="s">
        <v>76</v>
      </c>
      <c r="B7" s="21" t="n">
        <f aca="false">Assumptions!C7*Assumptions!$B$16</f>
        <v>0</v>
      </c>
      <c r="C7" s="21" t="n">
        <f aca="false">Assumptions!C8*Assumptions!$B$16</f>
        <v>0</v>
      </c>
      <c r="D7" s="21" t="n">
        <f aca="false">Assumptions!C9*Assumptions!$B$16</f>
        <v>43.75</v>
      </c>
      <c r="E7" s="21" t="n">
        <f aca="false">Assumptions!C10*Assumptions!$B$16</f>
        <v>175</v>
      </c>
      <c r="F7" s="21" t="n">
        <f aca="false">Assumptions!C11*Assumptions!$B$16</f>
        <v>700</v>
      </c>
    </row>
    <row r="8" customFormat="false" ht="15" hidden="false" customHeight="false" outlineLevel="0" collapsed="false">
      <c r="A8" s="7" t="s">
        <v>77</v>
      </c>
      <c r="B8" s="21" t="n">
        <f aca="false">Assumptions!E7*Assumptions!$B$17</f>
        <v>3.5</v>
      </c>
      <c r="C8" s="21" t="n">
        <f aca="false">Assumptions!E8*Assumptions!$B$17</f>
        <v>8.75</v>
      </c>
      <c r="D8" s="21" t="n">
        <f aca="false">Assumptions!E9*Assumptions!$B$17</f>
        <v>17.5</v>
      </c>
      <c r="E8" s="21" t="n">
        <f aca="false">Assumptions!E10*Assumptions!$B$17</f>
        <v>35</v>
      </c>
      <c r="F8" s="21" t="n">
        <f aca="false">Assumptions!E11*Assumptions!$B$17</f>
        <v>70</v>
      </c>
    </row>
    <row r="9" customFormat="false" ht="15" hidden="false" customHeight="false" outlineLevel="0" collapsed="false">
      <c r="A9" s="7" t="s">
        <v>78</v>
      </c>
      <c r="B9" s="21" t="n">
        <f aca="false">Assumptions!D7</f>
        <v>2</v>
      </c>
      <c r="C9" s="21" t="n">
        <f aca="false">Assumptions!D8</f>
        <v>6</v>
      </c>
      <c r="D9" s="21" t="n">
        <f aca="false">Assumptions!D9</f>
        <v>9</v>
      </c>
      <c r="E9" s="21" t="n">
        <f aca="false">Assumptions!D10</f>
        <v>12</v>
      </c>
      <c r="F9" s="21" t="n">
        <f aca="false">Assumptions!D11</f>
        <v>18</v>
      </c>
    </row>
    <row r="10" customFormat="false" ht="15" hidden="false" customHeight="false" outlineLevel="0" collapsed="false">
      <c r="A10" s="7" t="s">
        <v>79</v>
      </c>
      <c r="B10" s="21" t="n">
        <f aca="false">Assumptions!$B$18</f>
        <v>3</v>
      </c>
      <c r="C10" s="21" t="n">
        <f aca="false">Assumptions!$B$18</f>
        <v>3</v>
      </c>
      <c r="D10" s="21" t="n">
        <f aca="false">Assumptions!$B$18</f>
        <v>3</v>
      </c>
      <c r="E10" s="21" t="n">
        <f aca="false">Assumptions!$B$18</f>
        <v>3</v>
      </c>
      <c r="F10" s="21" t="n">
        <f aca="false">Assumptions!$B$18</f>
        <v>3</v>
      </c>
    </row>
    <row r="11" customFormat="false" ht="15" hidden="false" customHeight="false" outlineLevel="0" collapsed="false">
      <c r="A11" s="7" t="s">
        <v>31</v>
      </c>
      <c r="B11" s="21" t="n">
        <f aca="false">IF(Assumptions!B7=0,0,Assumptions!B7*Assumptions!$B$19+Assumptions!$B$20)</f>
        <v>0</v>
      </c>
      <c r="C11" s="21" t="n">
        <f aca="false">IF(Assumptions!B8=0,0,Assumptions!B8*Assumptions!$B$19+Assumptions!$B$20)</f>
        <v>4.911</v>
      </c>
      <c r="D11" s="21" t="n">
        <f aca="false">IF(Assumptions!B9=0,0,Assumptions!B9*Assumptions!$B$19+Assumptions!$B$20)</f>
        <v>10.421</v>
      </c>
      <c r="E11" s="21" t="n">
        <f aca="false">IF(Assumptions!B10=0,0,Assumptions!B10*Assumptions!$B$19+Assumptions!$B$20)</f>
        <v>20.571</v>
      </c>
      <c r="F11" s="21" t="n">
        <f aca="false">IF(Assumptions!B11=0,0,Assumptions!B11*Assumptions!$B$19+Assumptions!$B$20)</f>
        <v>56.85</v>
      </c>
    </row>
    <row r="12" customFormat="false" ht="15" hidden="false" customHeight="false" outlineLevel="0" collapsed="false">
      <c r="A12" s="7" t="s">
        <v>80</v>
      </c>
      <c r="B12" s="22" t="n">
        <f aca="false">SUM(B7:B11)</f>
        <v>8.5</v>
      </c>
      <c r="C12" s="22" t="n">
        <f aca="false">SUM(C7:C11)</f>
        <v>22.661</v>
      </c>
      <c r="D12" s="22" t="n">
        <f aca="false">SUM(D7:D11)</f>
        <v>83.671</v>
      </c>
      <c r="E12" s="22" t="n">
        <f aca="false">SUM(E7:E11)</f>
        <v>245.571</v>
      </c>
      <c r="F12" s="22" t="n">
        <f aca="false">SUM(F7:F11)</f>
        <v>847.85</v>
      </c>
    </row>
    <row r="14" customFormat="false" ht="15" hidden="false" customHeight="false" outlineLevel="0" collapsed="false">
      <c r="A14" s="7" t="s">
        <v>81</v>
      </c>
      <c r="B14" s="22" t="n">
        <f aca="false">B5-B12</f>
        <v>-8.5</v>
      </c>
      <c r="C14" s="22" t="n">
        <f aca="false">C5-C12</f>
        <v>136.339</v>
      </c>
      <c r="D14" s="22" t="n">
        <f aca="false">D5-D12</f>
        <v>265.329</v>
      </c>
      <c r="E14" s="22" t="n">
        <f aca="false">E5-E12</f>
        <v>453.429</v>
      </c>
      <c r="F14" s="22" t="n">
        <f aca="false">F5-F12</f>
        <v>1102.15</v>
      </c>
    </row>
    <row r="15" customFormat="false" ht="15" hidden="false" customHeight="false" outlineLevel="0" collapsed="false">
      <c r="A15" s="7" t="s">
        <v>82</v>
      </c>
      <c r="B15" s="23" t="n">
        <f aca="false">IF(B5=0,0,B14/B5)</f>
        <v>0</v>
      </c>
      <c r="C15" s="23" t="n">
        <f aca="false">IF(C5=0,0,C14/C5)</f>
        <v>0.857477987421384</v>
      </c>
      <c r="D15" s="23" t="n">
        <f aca="false">IF(D5=0,0,D14/D5)</f>
        <v>0.760255014326648</v>
      </c>
      <c r="E15" s="23" t="n">
        <f aca="false">IF(E5=0,0,E14/E5)</f>
        <v>0.648682403433476</v>
      </c>
      <c r="F15" s="23" t="n">
        <f aca="false">IF(F5=0,0,F14/F5)</f>
        <v>0.565205128205128</v>
      </c>
    </row>
    <row r="17" customFormat="false" ht="15" hidden="false" customHeight="false" outlineLevel="0" collapsed="false">
      <c r="A17" s="7" t="s">
        <v>83</v>
      </c>
      <c r="B17" s="20" t="n">
        <f aca="false">0</f>
        <v>0</v>
      </c>
      <c r="C17" s="20" t="n">
        <f aca="false">Assumptions!$B$24</f>
        <v>400</v>
      </c>
      <c r="D17" s="20" t="n">
        <f aca="false">Assumptions!$B$24</f>
        <v>400</v>
      </c>
      <c r="E17" s="20" t="n">
        <f aca="false">Assumptions!$B$25</f>
        <v>1800</v>
      </c>
      <c r="F17" s="20" t="n">
        <f aca="false">Assumptions!$B$25</f>
        <v>1800</v>
      </c>
    </row>
    <row r="18" customFormat="false" ht="15" hidden="false" customHeight="false" outlineLevel="0" collapsed="false">
      <c r="A18" s="7" t="s">
        <v>84</v>
      </c>
      <c r="B18" s="24" t="n">
        <f aca="false">Assumptions!$B$27</f>
        <v>0.045</v>
      </c>
      <c r="C18" s="24" t="n">
        <f aca="false">Assumptions!$B$27</f>
        <v>0.045</v>
      </c>
      <c r="D18" s="24" t="n">
        <f aca="false">Assumptions!$B$27</f>
        <v>0.045</v>
      </c>
      <c r="E18" s="24" t="n">
        <f aca="false">Assumptions!$B$28</f>
        <v>0.015</v>
      </c>
      <c r="F18" s="24" t="n">
        <f aca="false">Assumptions!$B$28</f>
        <v>0.015</v>
      </c>
    </row>
    <row r="19" customFormat="false" ht="15" hidden="false" customHeight="false" outlineLevel="0" collapsed="false">
      <c r="A19" s="7" t="s">
        <v>85</v>
      </c>
      <c r="B19" s="25" t="n">
        <f aca="false">IF(B18=0,0,1/B18)</f>
        <v>22.2222222222222</v>
      </c>
      <c r="C19" s="25" t="n">
        <f aca="false">IF(C18=0,0,1/C18)</f>
        <v>22.2222222222222</v>
      </c>
      <c r="D19" s="25" t="n">
        <f aca="false">IF(D18=0,0,1/D18)</f>
        <v>22.2222222222222</v>
      </c>
      <c r="E19" s="25" t="n">
        <f aca="false">IF(E18=0,0,1/E18)</f>
        <v>66.6666666666667</v>
      </c>
      <c r="F19" s="25" t="n">
        <f aca="false">IF(F18=0,0,1/F18)</f>
        <v>66.6666666666667</v>
      </c>
    </row>
    <row r="20" customFormat="false" ht="15" hidden="false" customHeight="false" outlineLevel="0" collapsed="false">
      <c r="A20" s="7" t="s">
        <v>86</v>
      </c>
      <c r="B20" s="26" t="n">
        <f aca="false">B14*B19</f>
        <v>-188.888888888889</v>
      </c>
      <c r="C20" s="26" t="n">
        <f aca="false">C14*C19</f>
        <v>3029.75555555556</v>
      </c>
      <c r="D20" s="26" t="n">
        <f aca="false">D14*D19</f>
        <v>5896.2</v>
      </c>
      <c r="E20" s="26" t="n">
        <f aca="false">E14*E19</f>
        <v>30228.6</v>
      </c>
      <c r="F20" s="26" t="n">
        <f aca="false">F14*F19</f>
        <v>73476.6666666667</v>
      </c>
    </row>
    <row r="21" customFormat="false" ht="15" hidden="false" customHeight="false" outlineLevel="0" collapsed="false">
      <c r="A21" s="7" t="s">
        <v>87</v>
      </c>
      <c r="B21" s="27" t="n">
        <f aca="false">IF(B17=0,0,B20/B17)</f>
        <v>0</v>
      </c>
      <c r="C21" s="27" t="n">
        <f aca="false">IF(C17=0,0,C20/C17)</f>
        <v>7.57438888888889</v>
      </c>
      <c r="D21" s="27" t="n">
        <f aca="false">IF(D17=0,0,D20/D17)</f>
        <v>14.7405</v>
      </c>
      <c r="E21" s="27" t="n">
        <f aca="false">IF(E17=0,0,E20/E17)</f>
        <v>16.7936666666667</v>
      </c>
      <c r="F21" s="27" t="n">
        <f aca="false">IF(F17=0,0,F20/F17)</f>
        <v>40.8203703703704</v>
      </c>
    </row>
    <row r="22" customFormat="false" ht="15" hidden="false" customHeight="false" outlineLevel="0" collapsed="false">
      <c r="A22" s="7" t="s">
        <v>88</v>
      </c>
      <c r="B22" s="28" t="n">
        <f aca="false">IF(B14&lt;=0,999,B17/B14)</f>
        <v>999</v>
      </c>
      <c r="C22" s="28" t="n">
        <f aca="false">IF(C14&lt;=0,999,C17/C14)</f>
        <v>2.93386338465149</v>
      </c>
      <c r="D22" s="28" t="n">
        <f aca="false">IF(D14&lt;=0,999,D17/D14)</f>
        <v>1.5075623094347</v>
      </c>
      <c r="E22" s="28" t="n">
        <f aca="false">IF(E14&lt;=0,999,E17/E14)</f>
        <v>3.969750501181</v>
      </c>
      <c r="F22" s="28" t="n">
        <f aca="false">IF(F14&lt;=0,999,F17/F14)</f>
        <v>1.63317152837636</v>
      </c>
    </row>
    <row r="24" customFormat="false" ht="15" hidden="false" customHeight="false" outlineLevel="0" collapsed="false">
      <c r="A24" s="7" t="s">
        <v>89</v>
      </c>
      <c r="B24" s="29" t="str">
        <f aca="false">IF(B5=0,"Acquisition",IF(B14&lt;=0,"LOSS-MAKING",IF(AND(B21&gt;=3,B22&lt;=Assumptions!$B$30),"HEALTHY",IF(B21&gt;=1.5,"MARGINAL","UNVIABLE"))))</f>
        <v>Acquisition</v>
      </c>
      <c r="C24" s="29" t="str">
        <f aca="false">IF(C5=0,"Acquisition",IF(C14&lt;=0,"LOSS-MAKING",IF(AND(C21&gt;=3,C22&lt;=Assumptions!$B$30),"HEALTHY",IF(C21&gt;=1.5,"MARGINAL","UNVIABLE"))))</f>
        <v>HEALTHY</v>
      </c>
      <c r="D24" s="29" t="str">
        <f aca="false">IF(D5=0,"Acquisition",IF(D14&lt;=0,"LOSS-MAKING",IF(AND(D21&gt;=3,D22&lt;=Assumptions!$B$30),"HEALTHY",IF(D21&gt;=1.5,"MARGINAL","UNVIABLE"))))</f>
        <v>HEALTHY</v>
      </c>
      <c r="E24" s="29" t="str">
        <f aca="false">IF(E5=0,"Acquisition",IF(E14&lt;=0,"LOSS-MAKING",IF(AND(E21&gt;=3,E22&lt;=Assumptions!$B$30),"HEALTHY",IF(E21&gt;=1.5,"MARGINAL","UNVIABLE"))))</f>
        <v>HEALTHY</v>
      </c>
      <c r="F24" s="29" t="str">
        <f aca="false">IF(F5=0,"Acquisition",IF(F14&lt;=0,"LOSS-MAKING",IF(AND(F21&gt;=3,F22&lt;=Assumptions!$B$30),"HEALTHY",IF(F21&gt;=1.5,"MARGINAL","UNVIABLE"))))</f>
        <v>HEALTHY</v>
      </c>
    </row>
    <row r="26" customFormat="false" ht="15" hidden="false" customHeight="false" outlineLevel="0" collapsed="false">
      <c r="A26" s="11" t="s">
        <v>90</v>
      </c>
    </row>
    <row r="27" customFormat="false" ht="15" hidden="false" customHeight="false" outlineLevel="0" collapsed="false">
      <c r="A27" s="11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3"/>
  </cols>
  <sheetData>
    <row r="1" customFormat="false" ht="17.35" hidden="false" customHeight="false" outlineLevel="0" collapsed="false">
      <c r="A1" s="2" t="s">
        <v>92</v>
      </c>
    </row>
    <row r="2" customFormat="false" ht="15" hidden="false" customHeight="false" outlineLevel="0" collapsed="false">
      <c r="A2" s="3" t="s">
        <v>93</v>
      </c>
    </row>
    <row r="4" customFormat="false" ht="15" hidden="false" customHeight="false" outlineLevel="0" collapsed="false">
      <c r="A4" s="4" t="s">
        <v>94</v>
      </c>
      <c r="B4" s="5"/>
      <c r="C4" s="5"/>
      <c r="D4" s="5"/>
    </row>
    <row r="5" customFormat="false" ht="15" hidden="false" customHeight="false" outlineLevel="0" collapsed="false">
      <c r="A5" s="7" t="s">
        <v>83</v>
      </c>
      <c r="B5" s="20" t="n">
        <f aca="false">Assumptions!B24</f>
        <v>400</v>
      </c>
      <c r="C5" s="11" t="s">
        <v>95</v>
      </c>
    </row>
    <row r="6" customFormat="false" ht="15" hidden="false" customHeight="false" outlineLevel="0" collapsed="false">
      <c r="A6" s="7" t="s">
        <v>84</v>
      </c>
      <c r="B6" s="24" t="n">
        <f aca="false">Assumptions!B27</f>
        <v>0.045</v>
      </c>
      <c r="C6" s="11" t="s">
        <v>96</v>
      </c>
    </row>
    <row r="7" customFormat="false" ht="15" hidden="false" customHeight="false" outlineLevel="0" collapsed="false">
      <c r="A7" s="7" t="s">
        <v>97</v>
      </c>
      <c r="B7" s="30" t="n">
        <v>3</v>
      </c>
      <c r="C7" s="11" t="s">
        <v>98</v>
      </c>
    </row>
    <row r="8" customFormat="false" ht="15" hidden="false" customHeight="false" outlineLevel="0" collapsed="false">
      <c r="A8" s="7" t="s">
        <v>99</v>
      </c>
      <c r="B8" s="31" t="n">
        <f aca="false">Assumptions!B30</f>
        <v>12</v>
      </c>
      <c r="C8" s="11"/>
    </row>
    <row r="9" customFormat="false" ht="15" hidden="false" customHeight="false" outlineLevel="0" collapsed="false">
      <c r="A9" s="7" t="s">
        <v>100</v>
      </c>
      <c r="B9" s="21" t="n">
        <f aca="false">Assumptions!D8+Assumptions!$B$18+Assumptions!E8*Assumptions!$B$17</f>
        <v>17.75</v>
      </c>
      <c r="C9" s="11" t="s">
        <v>101</v>
      </c>
    </row>
    <row r="11" customFormat="false" ht="15" hidden="false" customHeight="false" outlineLevel="0" collapsed="false">
      <c r="A11" s="4" t="s">
        <v>102</v>
      </c>
      <c r="B11" s="5"/>
      <c r="C11" s="5"/>
      <c r="D11" s="5"/>
    </row>
    <row r="12" customFormat="false" ht="15" hidden="false" customHeight="false" outlineLevel="0" collapsed="false">
      <c r="A12" s="7" t="s">
        <v>103</v>
      </c>
      <c r="B12" s="25" t="n">
        <f aca="false">1/B6</f>
        <v>22.2222222222222</v>
      </c>
    </row>
    <row r="13" customFormat="false" ht="15" hidden="false" customHeight="false" outlineLevel="0" collapsed="false">
      <c r="A13" s="7" t="s">
        <v>104</v>
      </c>
      <c r="B13" s="13" t="n">
        <f aca="false">B5*B7/B12</f>
        <v>54</v>
      </c>
    </row>
    <row r="14" customFormat="false" ht="15" hidden="false" customHeight="false" outlineLevel="0" collapsed="false">
      <c r="A14" s="7" t="s">
        <v>105</v>
      </c>
      <c r="B14" s="13" t="n">
        <f aca="false">B5/B8</f>
        <v>33.3333333333333</v>
      </c>
    </row>
    <row r="15" customFormat="false" ht="15" hidden="false" customHeight="false" outlineLevel="0" collapsed="false">
      <c r="A15" s="7" t="s">
        <v>106</v>
      </c>
      <c r="B15" s="32" t="str">
        <f aca="false">IF(B13&gt;B14,"LTV:CAC","Payback")</f>
        <v>LTV:CAC</v>
      </c>
    </row>
    <row r="16" customFormat="false" ht="15" hidden="false" customHeight="false" outlineLevel="0" collapsed="false">
      <c r="A16" s="7" t="s">
        <v>107</v>
      </c>
      <c r="B16" s="33" t="n">
        <f aca="false">MAX(B13,B14)</f>
        <v>54</v>
      </c>
    </row>
    <row r="17" customFormat="false" ht="15" hidden="false" customHeight="false" outlineLevel="0" collapsed="false">
      <c r="A17" s="7" t="s">
        <v>108</v>
      </c>
      <c r="B17" s="34" t="n">
        <f aca="false">(B16+Assumptions!$B$20+B9)/(1-Assumptions!$B$19)</f>
        <v>74.2018537590113</v>
      </c>
    </row>
    <row r="18" customFormat="false" ht="15" hidden="false" customHeight="false" outlineLevel="0" collapsed="false">
      <c r="A18" s="7" t="s">
        <v>109</v>
      </c>
      <c r="B18" s="20" t="n">
        <f aca="false">Assumptions!B8</f>
        <v>159</v>
      </c>
    </row>
    <row r="19" customFormat="false" ht="15" hidden="false" customHeight="false" outlineLevel="0" collapsed="false">
      <c r="A19" s="7" t="s">
        <v>110</v>
      </c>
      <c r="B19" s="22" t="n">
        <f aca="false">B18-B17</f>
        <v>84.7981462409887</v>
      </c>
    </row>
    <row r="20" customFormat="false" ht="15" hidden="false" customHeight="false" outlineLevel="0" collapsed="false">
      <c r="A20" s="7" t="s">
        <v>111</v>
      </c>
      <c r="B20" s="35" t="str">
        <f aca="false">IF(B18&gt;=B17,"WORKS at this CAC/churn","TOO LOW — raise price, cut CAC, or cut churn")</f>
        <v>WORKS at this CAC/churn</v>
      </c>
    </row>
    <row r="22" customFormat="false" ht="15" hidden="false" customHeight="false" outlineLevel="0" collapsed="false">
      <c r="A22" s="4" t="s">
        <v>112</v>
      </c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36" t="s">
        <v>113</v>
      </c>
      <c r="B23" s="37" t="n">
        <v>200</v>
      </c>
      <c r="C23" s="37" t="n">
        <v>300</v>
      </c>
      <c r="D23" s="37" t="n">
        <v>400</v>
      </c>
      <c r="E23" s="37" t="n">
        <v>600</v>
      </c>
      <c r="F23" s="37" t="n">
        <v>800</v>
      </c>
      <c r="G23" s="37" t="n">
        <v>1200</v>
      </c>
    </row>
    <row r="24" customFormat="false" ht="15" hidden="false" customHeight="false" outlineLevel="0" collapsed="false">
      <c r="A24" s="37" t="n">
        <v>99</v>
      </c>
      <c r="B24" s="38" t="n">
        <f aca="false">(($A24-($A24*Assumptions!$B$19+Assumptions!$B$20)-$B$9)*$B$12)/B$23</f>
        <v>8.67544444444445</v>
      </c>
      <c r="C24" s="38" t="n">
        <f aca="false">(($A24-($A24*Assumptions!$B$19+Assumptions!$B$20)-$B$9)*$B$12)/C$23</f>
        <v>5.78362962962963</v>
      </c>
      <c r="D24" s="38" t="n">
        <f aca="false">(($A24-($A24*Assumptions!$B$19+Assumptions!$B$20)-$B$9)*$B$12)/D$23</f>
        <v>4.33772222222222</v>
      </c>
      <c r="E24" s="38" t="n">
        <f aca="false">(($A24-($A24*Assumptions!$B$19+Assumptions!$B$20)-$B$9)*$B$12)/E$23</f>
        <v>2.89181481481481</v>
      </c>
      <c r="F24" s="38" t="n">
        <f aca="false">(($A24-($A24*Assumptions!$B$19+Assumptions!$B$20)-$B$9)*$B$12)/F$23</f>
        <v>2.16886111111111</v>
      </c>
      <c r="G24" s="38" t="n">
        <f aca="false">(($A24-($A24*Assumptions!$B$19+Assumptions!$B$20)-$B$9)*$B$12)/G$23</f>
        <v>1.44590740740741</v>
      </c>
    </row>
    <row r="25" customFormat="false" ht="15" hidden="false" customHeight="false" outlineLevel="0" collapsed="false">
      <c r="A25" s="37" t="n">
        <v>129</v>
      </c>
      <c r="B25" s="38" t="n">
        <f aca="false">(($A25-($A25*Assumptions!$B$19+Assumptions!$B$20)-$B$9)*$B$12)/B$23</f>
        <v>11.9121111111111</v>
      </c>
      <c r="C25" s="38" t="n">
        <f aca="false">(($A25-($A25*Assumptions!$B$19+Assumptions!$B$20)-$B$9)*$B$12)/C$23</f>
        <v>7.94140740740741</v>
      </c>
      <c r="D25" s="38" t="n">
        <f aca="false">(($A25-($A25*Assumptions!$B$19+Assumptions!$B$20)-$B$9)*$B$12)/D$23</f>
        <v>5.95605555555555</v>
      </c>
      <c r="E25" s="38" t="n">
        <f aca="false">(($A25-($A25*Assumptions!$B$19+Assumptions!$B$20)-$B$9)*$B$12)/E$23</f>
        <v>3.9707037037037</v>
      </c>
      <c r="F25" s="38" t="n">
        <f aca="false">(($A25-($A25*Assumptions!$B$19+Assumptions!$B$20)-$B$9)*$B$12)/F$23</f>
        <v>2.97802777777778</v>
      </c>
      <c r="G25" s="38" t="n">
        <f aca="false">(($A25-($A25*Assumptions!$B$19+Assumptions!$B$20)-$B$9)*$B$12)/G$23</f>
        <v>1.98535185185185</v>
      </c>
    </row>
    <row r="26" customFormat="false" ht="15" hidden="false" customHeight="false" outlineLevel="0" collapsed="false">
      <c r="A26" s="37" t="n">
        <v>159</v>
      </c>
      <c r="B26" s="38" t="n">
        <f aca="false">(($A26-($A26*Assumptions!$B$19+Assumptions!$B$20)-$B$9)*$B$12)/B$23</f>
        <v>15.1487777777778</v>
      </c>
      <c r="C26" s="38" t="n">
        <f aca="false">(($A26-($A26*Assumptions!$B$19+Assumptions!$B$20)-$B$9)*$B$12)/C$23</f>
        <v>10.0991851851852</v>
      </c>
      <c r="D26" s="38" t="n">
        <f aca="false">(($A26-($A26*Assumptions!$B$19+Assumptions!$B$20)-$B$9)*$B$12)/D$23</f>
        <v>7.57438888888889</v>
      </c>
      <c r="E26" s="38" t="n">
        <f aca="false">(($A26-($A26*Assumptions!$B$19+Assumptions!$B$20)-$B$9)*$B$12)/E$23</f>
        <v>5.04959259259259</v>
      </c>
      <c r="F26" s="38" t="n">
        <f aca="false">(($A26-($A26*Assumptions!$B$19+Assumptions!$B$20)-$B$9)*$B$12)/F$23</f>
        <v>3.78719444444444</v>
      </c>
      <c r="G26" s="38" t="n">
        <f aca="false">(($A26-($A26*Assumptions!$B$19+Assumptions!$B$20)-$B$9)*$B$12)/G$23</f>
        <v>2.5247962962963</v>
      </c>
    </row>
    <row r="27" customFormat="false" ht="15" hidden="false" customHeight="false" outlineLevel="0" collapsed="false">
      <c r="A27" s="37" t="n">
        <v>199</v>
      </c>
      <c r="B27" s="38" t="n">
        <f aca="false">(($A27-($A27*Assumptions!$B$19+Assumptions!$B$20)-$B$9)*$B$12)/B$23</f>
        <v>19.4643333333333</v>
      </c>
      <c r="C27" s="38" t="n">
        <f aca="false">(($A27-($A27*Assumptions!$B$19+Assumptions!$B$20)-$B$9)*$B$12)/C$23</f>
        <v>12.9762222222222</v>
      </c>
      <c r="D27" s="38" t="n">
        <f aca="false">(($A27-($A27*Assumptions!$B$19+Assumptions!$B$20)-$B$9)*$B$12)/D$23</f>
        <v>9.73216666666667</v>
      </c>
      <c r="E27" s="38" t="n">
        <f aca="false">(($A27-($A27*Assumptions!$B$19+Assumptions!$B$20)-$B$9)*$B$12)/E$23</f>
        <v>6.48811111111111</v>
      </c>
      <c r="F27" s="38" t="n">
        <f aca="false">(($A27-($A27*Assumptions!$B$19+Assumptions!$B$20)-$B$9)*$B$12)/F$23</f>
        <v>4.86608333333333</v>
      </c>
      <c r="G27" s="38" t="n">
        <f aca="false">(($A27-($A27*Assumptions!$B$19+Assumptions!$B$20)-$B$9)*$B$12)/G$23</f>
        <v>3.24405555555556</v>
      </c>
    </row>
    <row r="28" customFormat="false" ht="15" hidden="false" customHeight="false" outlineLevel="0" collapsed="false">
      <c r="A28" s="37" t="n">
        <v>249</v>
      </c>
      <c r="B28" s="38" t="n">
        <f aca="false">(($A28-($A28*Assumptions!$B$19+Assumptions!$B$20)-$B$9)*$B$12)/B$23</f>
        <v>24.8587777777778</v>
      </c>
      <c r="C28" s="38" t="n">
        <f aca="false">(($A28-($A28*Assumptions!$B$19+Assumptions!$B$20)-$B$9)*$B$12)/C$23</f>
        <v>16.5725185185185</v>
      </c>
      <c r="D28" s="38" t="n">
        <f aca="false">(($A28-($A28*Assumptions!$B$19+Assumptions!$B$20)-$B$9)*$B$12)/D$23</f>
        <v>12.4293888888889</v>
      </c>
      <c r="E28" s="38" t="n">
        <f aca="false">(($A28-($A28*Assumptions!$B$19+Assumptions!$B$20)-$B$9)*$B$12)/E$23</f>
        <v>8.28625925925926</v>
      </c>
      <c r="F28" s="38" t="n">
        <f aca="false">(($A28-($A28*Assumptions!$B$19+Assumptions!$B$20)-$B$9)*$B$12)/F$23</f>
        <v>6.21469444444444</v>
      </c>
      <c r="G28" s="38" t="n">
        <f aca="false">(($A28-($A28*Assumptions!$B$19+Assumptions!$B$20)-$B$9)*$B$12)/G$23</f>
        <v>4.14312962962963</v>
      </c>
    </row>
    <row r="29" customFormat="false" ht="15" hidden="false" customHeight="false" outlineLevel="0" collapsed="false">
      <c r="A29" s="37" t="n">
        <v>299</v>
      </c>
      <c r="B29" s="38" t="n">
        <f aca="false">(($A29-($A29*Assumptions!$B$19+Assumptions!$B$20)-$B$9)*$B$12)/B$23</f>
        <v>30.2532222222222</v>
      </c>
      <c r="C29" s="38" t="n">
        <f aca="false">(($A29-($A29*Assumptions!$B$19+Assumptions!$B$20)-$B$9)*$B$12)/C$23</f>
        <v>20.1688148148148</v>
      </c>
      <c r="D29" s="38" t="n">
        <f aca="false">(($A29-($A29*Assumptions!$B$19+Assumptions!$B$20)-$B$9)*$B$12)/D$23</f>
        <v>15.1266111111111</v>
      </c>
      <c r="E29" s="38" t="n">
        <f aca="false">(($A29-($A29*Assumptions!$B$19+Assumptions!$B$20)-$B$9)*$B$12)/E$23</f>
        <v>10.0844074074074</v>
      </c>
      <c r="F29" s="38" t="n">
        <f aca="false">(($A29-($A29*Assumptions!$B$19+Assumptions!$B$20)-$B$9)*$B$12)/F$23</f>
        <v>7.56330555555556</v>
      </c>
      <c r="G29" s="38" t="n">
        <f aca="false">(($A29-($A29*Assumptions!$B$19+Assumptions!$B$20)-$B$9)*$B$12)/G$23</f>
        <v>5.0422037037037</v>
      </c>
    </row>
    <row r="30" customFormat="false" ht="15" hidden="false" customHeight="false" outlineLevel="0" collapsed="false">
      <c r="A30" s="37" t="n">
        <v>349</v>
      </c>
      <c r="B30" s="38" t="n">
        <f aca="false">(($A30-($A30*Assumptions!$B$19+Assumptions!$B$20)-$B$9)*$B$12)/B$23</f>
        <v>35.6476666666667</v>
      </c>
      <c r="C30" s="38" t="n">
        <f aca="false">(($A30-($A30*Assumptions!$B$19+Assumptions!$B$20)-$B$9)*$B$12)/C$23</f>
        <v>23.7651111111111</v>
      </c>
      <c r="D30" s="38" t="n">
        <f aca="false">(($A30-($A30*Assumptions!$B$19+Assumptions!$B$20)-$B$9)*$B$12)/D$23</f>
        <v>17.8238333333333</v>
      </c>
      <c r="E30" s="38" t="n">
        <f aca="false">(($A30-($A30*Assumptions!$B$19+Assumptions!$B$20)-$B$9)*$B$12)/E$23</f>
        <v>11.8825555555556</v>
      </c>
      <c r="F30" s="38" t="n">
        <f aca="false">(($A30-($A30*Assumptions!$B$19+Assumptions!$B$20)-$B$9)*$B$12)/F$23</f>
        <v>8.91191666666667</v>
      </c>
      <c r="G30" s="38" t="n">
        <f aca="false">(($A30-($A30*Assumptions!$B$19+Assumptions!$B$20)-$B$9)*$B$12)/G$23</f>
        <v>5.94127777777778</v>
      </c>
    </row>
    <row r="32" customFormat="false" ht="15" hidden="false" customHeight="false" outlineLevel="0" collapsed="false">
      <c r="A32" s="11" t="s">
        <v>114</v>
      </c>
    </row>
  </sheetData>
  <conditionalFormatting sqref="B24:G30">
    <cfRule type="cellIs" priority="2" operator="greaterThanOrEqual" aboveAverage="0" equalAverage="0" bottom="0" percent="0" rank="0" text="" dxfId="0">
      <formula>3</formula>
    </cfRule>
    <cfRule type="cellIs" priority="3" operator="between" aboveAverage="0" equalAverage="0" bottom="0" percent="0" rank="0" text="" dxfId="1">
      <formula>1.5</formula>
      <formula>3</formula>
    </cfRule>
    <cfRule type="cellIs" priority="4" operator="lessThan" aboveAverage="0" equalAverage="0" bottom="0" percent="0" rank="0" text="" dxfId="2">
      <formula>1.5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6"/>
  </cols>
  <sheetData>
    <row r="1" customFormat="false" ht="17.35" hidden="false" customHeight="false" outlineLevel="0" collapsed="false">
      <c r="A1" s="2" t="s">
        <v>115</v>
      </c>
    </row>
    <row r="2" customFormat="false" ht="15" hidden="false" customHeight="false" outlineLevel="0" collapsed="false">
      <c r="A2" s="3" t="s">
        <v>116</v>
      </c>
    </row>
    <row r="4" customFormat="false" ht="15" hidden="false" customHeight="false" outlineLevel="0" collapsed="false">
      <c r="A4" s="4" t="s">
        <v>74</v>
      </c>
      <c r="B4" s="19" t="s">
        <v>117</v>
      </c>
      <c r="C4" s="19" t="s">
        <v>118</v>
      </c>
      <c r="D4" s="19" t="s">
        <v>119</v>
      </c>
    </row>
    <row r="5" customFormat="false" ht="15" hidden="false" customHeight="false" outlineLevel="0" collapsed="false">
      <c r="A5" s="36" t="s">
        <v>120</v>
      </c>
      <c r="B5" s="39"/>
      <c r="C5" s="39"/>
      <c r="D5" s="39"/>
    </row>
    <row r="6" customFormat="false" ht="15" hidden="false" customHeight="false" outlineLevel="0" collapsed="false">
      <c r="A6" s="40" t="s">
        <v>10</v>
      </c>
      <c r="B6" s="12" t="n">
        <v>600</v>
      </c>
      <c r="C6" s="12" t="n">
        <v>2000</v>
      </c>
      <c r="D6" s="12" t="n">
        <v>5000</v>
      </c>
    </row>
    <row r="7" customFormat="false" ht="15" hidden="false" customHeight="false" outlineLevel="0" collapsed="false">
      <c r="A7" s="40" t="s">
        <v>12</v>
      </c>
      <c r="B7" s="12" t="n">
        <v>120</v>
      </c>
      <c r="C7" s="12" t="n">
        <v>400</v>
      </c>
      <c r="D7" s="12" t="n">
        <v>1000</v>
      </c>
    </row>
    <row r="8" customFormat="false" ht="15" hidden="false" customHeight="false" outlineLevel="0" collapsed="false">
      <c r="A8" s="40" t="s">
        <v>14</v>
      </c>
      <c r="B8" s="12" t="n">
        <v>40</v>
      </c>
      <c r="C8" s="12" t="n">
        <v>160</v>
      </c>
      <c r="D8" s="12" t="n">
        <v>450</v>
      </c>
    </row>
    <row r="9" customFormat="false" ht="15" hidden="false" customHeight="false" outlineLevel="0" collapsed="false">
      <c r="A9" s="40" t="s">
        <v>16</v>
      </c>
      <c r="B9" s="12" t="n">
        <v>30</v>
      </c>
      <c r="C9" s="12" t="n">
        <v>120</v>
      </c>
      <c r="D9" s="12" t="n">
        <v>350</v>
      </c>
    </row>
    <row r="10" customFormat="false" ht="15" hidden="false" customHeight="false" outlineLevel="0" collapsed="false">
      <c r="A10" s="40" t="s">
        <v>18</v>
      </c>
      <c r="B10" s="12" t="n">
        <v>20</v>
      </c>
      <c r="C10" s="12" t="n">
        <v>90</v>
      </c>
      <c r="D10" s="12" t="n">
        <v>260</v>
      </c>
    </row>
    <row r="11" customFormat="false" ht="15" hidden="false" customHeight="false" outlineLevel="0" collapsed="false">
      <c r="A11" s="7" t="s">
        <v>121</v>
      </c>
      <c r="B11" s="41" t="n">
        <f aca="false">SUM(B7:B10)</f>
        <v>210</v>
      </c>
      <c r="C11" s="41" t="n">
        <f aca="false">SUM(C7:C10)</f>
        <v>770</v>
      </c>
      <c r="D11" s="41" t="n">
        <f aca="false">SUM(D7:D10)</f>
        <v>2060</v>
      </c>
    </row>
    <row r="13" customFormat="false" ht="15" hidden="false" customHeight="false" outlineLevel="0" collapsed="false">
      <c r="A13" s="36" t="s">
        <v>122</v>
      </c>
      <c r="B13" s="39"/>
      <c r="C13" s="39"/>
      <c r="D13" s="39"/>
    </row>
    <row r="14" customFormat="false" ht="15" hidden="false" customHeight="false" outlineLevel="0" collapsed="false">
      <c r="A14" s="40" t="s">
        <v>123</v>
      </c>
      <c r="B14" s="42" t="n">
        <f aca="false">B7*Assumptions!$B$8*12</f>
        <v>228960</v>
      </c>
      <c r="C14" s="42" t="n">
        <f aca="false">C7*Assumptions!$B$8*12</f>
        <v>763200</v>
      </c>
      <c r="D14" s="42" t="n">
        <f aca="false">D7*Assumptions!$B$8*12</f>
        <v>1908000</v>
      </c>
    </row>
    <row r="15" customFormat="false" ht="15" hidden="false" customHeight="false" outlineLevel="0" collapsed="false">
      <c r="A15" s="40" t="s">
        <v>124</v>
      </c>
      <c r="B15" s="42" t="n">
        <f aca="false">B8*Assumptions!$B$9*12</f>
        <v>167520</v>
      </c>
      <c r="C15" s="42" t="n">
        <f aca="false">C8*Assumptions!$B$9*12</f>
        <v>670080</v>
      </c>
      <c r="D15" s="42" t="n">
        <f aca="false">D8*Assumptions!$B$9*12</f>
        <v>1884600</v>
      </c>
    </row>
    <row r="16" customFormat="false" ht="15" hidden="false" customHeight="false" outlineLevel="0" collapsed="false">
      <c r="A16" s="40" t="s">
        <v>125</v>
      </c>
      <c r="B16" s="42" t="n">
        <f aca="false">B9*Assumptions!$B$10*12</f>
        <v>251640</v>
      </c>
      <c r="C16" s="42" t="n">
        <f aca="false">C9*Assumptions!$B$10*12</f>
        <v>1006560</v>
      </c>
      <c r="D16" s="42" t="n">
        <f aca="false">D9*Assumptions!$B$10*12</f>
        <v>2935800</v>
      </c>
    </row>
    <row r="17" customFormat="false" ht="15" hidden="false" customHeight="false" outlineLevel="0" collapsed="false">
      <c r="A17" s="40" t="s">
        <v>126</v>
      </c>
      <c r="B17" s="42" t="n">
        <f aca="false">B10*Assumptions!$B$11*12</f>
        <v>468000</v>
      </c>
      <c r="C17" s="42" t="n">
        <f aca="false">C10*Assumptions!$B$11*12</f>
        <v>2106000</v>
      </c>
      <c r="D17" s="42" t="n">
        <f aca="false">D10*Assumptions!$B$11*12</f>
        <v>6084000</v>
      </c>
    </row>
    <row r="18" customFormat="false" ht="15" hidden="false" customHeight="false" outlineLevel="0" collapsed="false">
      <c r="A18" s="7" t="s">
        <v>127</v>
      </c>
      <c r="B18" s="43" t="n">
        <f aca="false">SUM(B14:B17)</f>
        <v>1116120</v>
      </c>
      <c r="C18" s="43" t="n">
        <f aca="false">SUM(C14:C17)</f>
        <v>4545840</v>
      </c>
      <c r="D18" s="43" t="n">
        <f aca="false">SUM(D14:D17)</f>
        <v>12812400</v>
      </c>
    </row>
    <row r="20" customFormat="false" ht="15" hidden="false" customHeight="false" outlineLevel="0" collapsed="false">
      <c r="A20" s="36" t="s">
        <v>128</v>
      </c>
      <c r="B20" s="39"/>
      <c r="C20" s="39"/>
      <c r="D20" s="39"/>
    </row>
    <row r="21" customFormat="false" ht="15" hidden="false" customHeight="false" outlineLevel="0" collapsed="false">
      <c r="A21" s="40" t="s">
        <v>129</v>
      </c>
      <c r="B21" s="44" t="n">
        <f aca="false">(B6*Assumptions!$C$7+B7*Assumptions!$C$8+B8*Assumptions!$C$9+B9*Assumptions!$C$10+B10*Assumptions!$C$11)*12</f>
        <v>2880</v>
      </c>
      <c r="C21" s="44" t="n">
        <f aca="false">(C6*Assumptions!$C$7+C7*Assumptions!$C$8+C8*Assumptions!$C$9+C9*Assumptions!$C$10+C10*Assumptions!$C$11)*12</f>
        <v>12480</v>
      </c>
      <c r="D21" s="44" t="n">
        <f aca="false">(D6*Assumptions!$C$7+D7*Assumptions!$C$8+D8*Assumptions!$C$9+D9*Assumptions!$C$10+D10*Assumptions!$C$11)*12</f>
        <v>36060</v>
      </c>
    </row>
    <row r="22" customFormat="false" ht="15" hidden="false" customHeight="false" outlineLevel="0" collapsed="false">
      <c r="A22" s="7" t="s">
        <v>130</v>
      </c>
      <c r="B22" s="41" t="n">
        <f aca="false">ROUNDUP(B21/Assumptions!$B$15,0)</f>
        <v>2</v>
      </c>
      <c r="C22" s="41" t="n">
        <f aca="false">ROUNDUP(C21/Assumptions!$B$15,0)</f>
        <v>8</v>
      </c>
      <c r="D22" s="41" t="n">
        <f aca="false">ROUNDUP(D21/Assumptions!$B$15,0)</f>
        <v>23</v>
      </c>
    </row>
    <row r="23" customFormat="false" ht="15" hidden="false" customHeight="false" outlineLevel="0" collapsed="false">
      <c r="A23" s="40" t="s">
        <v>76</v>
      </c>
      <c r="B23" s="42" t="n">
        <f aca="false">B22*Assumptions!$B$14</f>
        <v>280000</v>
      </c>
      <c r="C23" s="42" t="n">
        <f aca="false">C22*Assumptions!$B$14</f>
        <v>1120000</v>
      </c>
      <c r="D23" s="42" t="n">
        <f aca="false">D22*Assumptions!$B$14</f>
        <v>3220000</v>
      </c>
    </row>
    <row r="24" customFormat="false" ht="15" hidden="false" customHeight="false" outlineLevel="0" collapsed="false">
      <c r="A24" s="40" t="s">
        <v>131</v>
      </c>
      <c r="B24" s="42" t="n">
        <f aca="false">(B6*(Assumptions!$D$7+Assumptions!$B$18)+B7*(Assumptions!$D$8+Assumptions!$B$18)+B8*(Assumptions!$D$9+Assumptions!$B$18)+B9*(Assumptions!$D$10+Assumptions!$B$18)+B10*(Assumptions!$D$11+Assumptions!$B$18))*12</f>
        <v>65160</v>
      </c>
      <c r="C24" s="42" t="n">
        <f aca="false">(C6*(Assumptions!$D$7+Assumptions!$B$18)+C7*(Assumptions!$D$8+Assumptions!$B$18)+C8*(Assumptions!$D$9+Assumptions!$B$18)+C9*(Assumptions!$D$10+Assumptions!$B$18)+C10*(Assumptions!$D$11+Assumptions!$B$18))*12</f>
        <v>230520</v>
      </c>
      <c r="D24" s="42" t="n">
        <f aca="false">(D6*(Assumptions!$D$7+Assumptions!$B$18)+D7*(Assumptions!$D$8+Assumptions!$B$18)+D8*(Assumptions!$D$9+Assumptions!$B$18)+D9*(Assumptions!$D$10+Assumptions!$B$18)+D10*(Assumptions!$D$11+Assumptions!$B$18))*12</f>
        <v>601320</v>
      </c>
    </row>
    <row r="25" customFormat="false" ht="15" hidden="false" customHeight="false" outlineLevel="0" collapsed="false">
      <c r="A25" s="40" t="s">
        <v>132</v>
      </c>
      <c r="B25" s="42" t="n">
        <f aca="false">(B6*Assumptions!$E$7+B7*Assumptions!$E$8+B8*Assumptions!$E$9+B9*Assumptions!$E$10+B10*Assumptions!$E$11)*12*Assumptions!$B$17</f>
        <v>75600</v>
      </c>
      <c r="C25" s="42" t="n">
        <f aca="false">(C6*Assumptions!$E$7+C7*Assumptions!$E$8+C8*Assumptions!$E$9+C9*Assumptions!$E$10+C10*Assumptions!$E$11)*12*Assumptions!$B$17</f>
        <v>285600</v>
      </c>
      <c r="D25" s="42" t="n">
        <f aca="false">(D6*Assumptions!$E$7+D7*Assumptions!$E$8+D8*Assumptions!$E$9+D9*Assumptions!$E$10+D10*Assumptions!$E$11)*12*Assumptions!$B$17</f>
        <v>774900</v>
      </c>
    </row>
    <row r="26" customFormat="false" ht="15" hidden="false" customHeight="false" outlineLevel="0" collapsed="false">
      <c r="A26" s="40" t="s">
        <v>31</v>
      </c>
      <c r="B26" s="42" t="n">
        <f aca="false">B18*Assumptions!$B$19+B11*12*Assumptions!$B$20</f>
        <v>33123.48</v>
      </c>
      <c r="C26" s="42" t="n">
        <f aca="false">C18*Assumptions!$B$19+C11*12*Assumptions!$B$20</f>
        <v>134601.36</v>
      </c>
      <c r="D26" s="42" t="n">
        <f aca="false">D18*Assumptions!$B$19+D11*12*Assumptions!$B$20</f>
        <v>378975.6</v>
      </c>
    </row>
    <row r="27" customFormat="false" ht="15" hidden="false" customHeight="false" outlineLevel="0" collapsed="false">
      <c r="A27" s="7" t="s">
        <v>80</v>
      </c>
      <c r="B27" s="43" t="n">
        <f aca="false">SUM(B23:B26)</f>
        <v>453883.48</v>
      </c>
      <c r="C27" s="43" t="n">
        <f aca="false">SUM(C23:C26)</f>
        <v>1770721.36</v>
      </c>
      <c r="D27" s="43" t="n">
        <f aca="false">SUM(D23:D26)</f>
        <v>4975195.6</v>
      </c>
    </row>
    <row r="29" customFormat="false" ht="15" hidden="false" customHeight="false" outlineLevel="0" collapsed="false">
      <c r="A29" s="7" t="s">
        <v>133</v>
      </c>
      <c r="B29" s="45" t="n">
        <f aca="false">B18-B27</f>
        <v>662236.52</v>
      </c>
      <c r="C29" s="45" t="n">
        <f aca="false">C18-C27</f>
        <v>2775118.64</v>
      </c>
      <c r="D29" s="45" t="n">
        <f aca="false">D18-D27</f>
        <v>7837204.4</v>
      </c>
    </row>
    <row r="30" customFormat="false" ht="15" hidden="false" customHeight="false" outlineLevel="0" collapsed="false">
      <c r="A30" s="7" t="s">
        <v>82</v>
      </c>
      <c r="B30" s="46" t="n">
        <f aca="false">IF(B18=0,0,B29/B18)</f>
        <v>0.593338099845895</v>
      </c>
      <c r="C30" s="46" t="n">
        <f aca="false">IF(C18=0,0,C29/C18)</f>
        <v>0.610474332576597</v>
      </c>
      <c r="D30" s="46" t="n">
        <f aca="false">IF(D18=0,0,D29/D18)</f>
        <v>0.611689020011864</v>
      </c>
    </row>
    <row r="32" customFormat="false" ht="15" hidden="false" customHeight="false" outlineLevel="0" collapsed="false">
      <c r="A32" s="36" t="s">
        <v>134</v>
      </c>
      <c r="B32" s="39"/>
      <c r="C32" s="39"/>
      <c r="D32" s="39"/>
    </row>
    <row r="33" customFormat="false" ht="15" hidden="false" customHeight="false" outlineLevel="0" collapsed="false">
      <c r="A33" s="40" t="s">
        <v>135</v>
      </c>
      <c r="B33" s="44" t="n">
        <f aca="false">B11</f>
        <v>210</v>
      </c>
      <c r="C33" s="44" t="n">
        <f aca="false">C11-B11+B11*Assumptions!$B$27*12</f>
        <v>673.4</v>
      </c>
      <c r="D33" s="44" t="n">
        <f aca="false">D11-C11+C11*Assumptions!$B$27*12</f>
        <v>1705.8</v>
      </c>
    </row>
    <row r="34" customFormat="false" ht="15" hidden="false" customHeight="false" outlineLevel="0" collapsed="false">
      <c r="A34" s="7" t="s">
        <v>136</v>
      </c>
      <c r="B34" s="45" t="n">
        <f aca="false">B33*Assumptions!$B$24</f>
        <v>84000</v>
      </c>
      <c r="C34" s="45" t="n">
        <f aca="false">C33*Assumptions!$B$24</f>
        <v>269360</v>
      </c>
      <c r="D34" s="45" t="n">
        <f aca="false">D33*Assumptions!$B$24</f>
        <v>682320</v>
      </c>
    </row>
    <row r="36" customFormat="false" ht="15" hidden="false" customHeight="false" outlineLevel="0" collapsed="false">
      <c r="A36" s="7" t="s">
        <v>137</v>
      </c>
      <c r="B36" s="45" t="n">
        <f aca="false">B29-B34</f>
        <v>578236.52</v>
      </c>
      <c r="C36" s="45" t="n">
        <f aca="false">C29-C34</f>
        <v>2505758.64</v>
      </c>
      <c r="D36" s="45" t="n">
        <f aca="false">D29-D34</f>
        <v>7154884.4</v>
      </c>
    </row>
    <row r="37" customFormat="false" ht="15" hidden="false" customHeight="false" outlineLevel="0" collapsed="false">
      <c r="A37" s="7" t="s">
        <v>138</v>
      </c>
      <c r="B37" s="47" t="n">
        <f aca="false">IF(B18=0,0,B36/B18)</f>
        <v>0.518077375192632</v>
      </c>
      <c r="C37" s="47" t="n">
        <f aca="false">IF(C18=0,0,C36/C18)</f>
        <v>0.551220157330658</v>
      </c>
      <c r="D37" s="47" t="n">
        <f aca="false">IF(D18=0,0,D36/D18)</f>
        <v>0.558434360463301</v>
      </c>
    </row>
    <row r="39" customFormat="false" ht="15" hidden="false" customHeight="false" outlineLevel="0" collapsed="false">
      <c r="A39" s="40" t="s">
        <v>139</v>
      </c>
      <c r="B39" s="42" t="n">
        <f aca="false">IF(B11=0,0,B18/B11/12)</f>
        <v>442.904761904762</v>
      </c>
      <c r="C39" s="42" t="n">
        <f aca="false">IF(C11=0,0,C18/C11/12)</f>
        <v>491.974025974026</v>
      </c>
      <c r="D39" s="42" t="n">
        <f aca="false">IF(D11=0,0,D18/D11/12)</f>
        <v>518.300970873787</v>
      </c>
    </row>
    <row r="40" customFormat="false" ht="15" hidden="false" customHeight="false" outlineLevel="0" collapsed="false">
      <c r="A40" s="40" t="s">
        <v>140</v>
      </c>
      <c r="B40" s="42" t="n">
        <f aca="false">IF(B22=0,0,B18/B22)</f>
        <v>558060</v>
      </c>
      <c r="C40" s="42" t="n">
        <f aca="false">IF(C22=0,0,C18/C22)</f>
        <v>568230</v>
      </c>
      <c r="D40" s="42" t="n">
        <f aca="false">IF(D22=0,0,D18/D22)</f>
        <v>557060.869565217</v>
      </c>
    </row>
    <row r="42" customFormat="false" ht="15" hidden="false" customHeight="false" outlineLevel="0" collapsed="false">
      <c r="A42" s="11" t="s">
        <v>141</v>
      </c>
    </row>
    <row r="43" customFormat="false" ht="15" hidden="false" customHeight="false" outlineLevel="0" collapsed="false">
      <c r="A43" s="11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2026-07-16T18:26:12Z</dcterms:created>
  <dc:creator>openpyxl</dc:creator>
  <dc:description/>
  <dc:language>en-US</dc:language>
  <cp:lastModifiedBy/>
  <dcterms:modified xsi:type="dcterms:W3CDTF">2026-07-16T18:26:12Z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